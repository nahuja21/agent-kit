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eeseGorey\Documents\Personal\Treya\"/>
    </mc:Choice>
  </mc:AlternateContent>
  <xr:revisionPtr revIDLastSave="0" documentId="8_{E484131A-0A6C-4867-A764-A62490BEEA5B}" xr6:coauthVersionLast="47" xr6:coauthVersionMax="47" xr10:uidLastSave="{00000000-0000-0000-0000-000000000000}"/>
  <bookViews>
    <workbookView xWindow="28680" yWindow="-120" windowWidth="29040" windowHeight="15720" xr2:uid="{B9EF1689-0692-41D3-8B10-6B53115D67D8}"/>
  </bookViews>
  <sheets>
    <sheet name="Notes" sheetId="1" r:id="rId1"/>
    <sheet name="Calculation Valid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K7" i="2"/>
  <c r="L7" i="2" s="1"/>
  <c r="H16" i="2"/>
  <c r="J16" i="2"/>
  <c r="J6" i="2"/>
  <c r="J7" i="2"/>
  <c r="J8" i="2"/>
  <c r="J9" i="2"/>
  <c r="J10" i="2"/>
  <c r="J11" i="2"/>
  <c r="J12" i="2"/>
  <c r="J13" i="2"/>
  <c r="J14" i="2"/>
  <c r="J15" i="2"/>
  <c r="C40" i="2"/>
  <c r="E29" i="2"/>
  <c r="E30" i="2"/>
  <c r="G29" i="2" s="1"/>
  <c r="E31" i="2"/>
  <c r="E32" i="2"/>
  <c r="E33" i="2"/>
  <c r="E34" i="2"/>
  <c r="E35" i="2"/>
  <c r="E36" i="2"/>
  <c r="E37" i="2"/>
  <c r="E38" i="2"/>
  <c r="E39" i="2"/>
  <c r="E28" i="2"/>
  <c r="E25" i="2"/>
  <c r="F25" i="2" s="1"/>
  <c r="E24" i="2"/>
  <c r="F24" i="2" s="1"/>
  <c r="E40" i="2" l="1"/>
  <c r="H29" i="2" s="1"/>
  <c r="C18" i="2"/>
  <c r="C19" i="2" s="1"/>
  <c r="C15" i="2"/>
  <c r="E14" i="2"/>
  <c r="E13" i="2"/>
  <c r="E12" i="2"/>
  <c r="E11" i="2"/>
  <c r="E10" i="2"/>
  <c r="E9" i="2"/>
  <c r="D18" i="2" s="1"/>
  <c r="E8" i="2"/>
  <c r="E7" i="2"/>
  <c r="E15" i="2" l="1"/>
  <c r="D19" i="2" s="1"/>
</calcChain>
</file>

<file path=xl/sharedStrings.xml><?xml version="1.0" encoding="utf-8"?>
<sst xmlns="http://schemas.openxmlformats.org/spreadsheetml/2006/main" count="85" uniqueCount="74">
  <si>
    <t>Client</t>
  </si>
  <si>
    <t>Client Overview</t>
  </si>
  <si>
    <t>Project Scope</t>
  </si>
  <si>
    <t>Engagement Background</t>
  </si>
  <si>
    <t>Impact &amp; Results</t>
  </si>
  <si>
    <t>Categories (Detailed)</t>
  </si>
  <si>
    <t>Supplier Battlecards</t>
  </si>
  <si>
    <t>Case Study Packaging</t>
  </si>
  <si>
    <t>Extraction Notes</t>
  </si>
  <si>
    <t>Advantia Health</t>
  </si>
  <si>
    <t>Reviewer notes</t>
  </si>
  <si>
    <t xml:space="preserve">Adding Savings avg could be useful. </t>
  </si>
  <si>
    <t xml:space="preserve">States company operates over 60 clinics, but found 29 on their website and 40 from an interview with their CEO. </t>
  </si>
  <si>
    <t xml:space="preserve">Headline incorrectly states $716K across 7 categories with $77K already locked in
Corrected: $685K across 6 categories with $75K already locked in
Source: Advantia -  Project Close Out Summary (11-22-2022).pptx
UPDATE: The extra $31K was from the Advantia Strategic Sourcing Project Update (102122) vF1, where there is an IT Managed Services savings estimate of $31,459 on slide 2, which is what LLM used, but then $26,556 on slide 9. Which is correct? </t>
  </si>
  <si>
    <t>Category Results: Includes the IT Managed Services which is not in the Close Out Summary.</t>
  </si>
  <si>
    <t xml:space="preserve">Staffmark (Recruiter-on-demand) spend went from $819,732 to $0 although they were awarded. Savings marked at $152K. Since this was insourcing, it could make sense but the spend shift is confusing. </t>
  </si>
  <si>
    <t>Christianbook, LLC</t>
  </si>
  <si>
    <t>Exhibit A - Project Scope:
- Addressable spend was calculated incorrectly as $12,010,536 where it should have been $15,156,747.
- COGS categories % of addressable is incorrect. The LLM added the correct addressable spend numbers but divided them by the previously incorrect addressable spend total to get 24.9%. Correct answer should be 19.7% ($2,988,168.30/$15,156,746.95=19.7%)</t>
  </si>
  <si>
    <t>Category Details: 
- Merchant Processing Fees was listed at 30% addressable instead of 90% addressable, which is how the addressable spend number was calculated</t>
  </si>
  <si>
    <t>Scope Summary: correctly calculated addressable here.</t>
  </si>
  <si>
    <t>Objective: 
- Incorrectly states Christianbook engages Treya to capture $655K-$1.7M in cost savings. Corrected is $655K-$1.2M. The $1.7M seems to be pulled from the Savings Assessent + Proposal Christianbook.pptx</t>
  </si>
  <si>
    <t>LLM could do a better job citing sources for each data point. Some numbers reported are from different project update files (e.g., one from the final update, another from a previous update) See cell F6</t>
  </si>
  <si>
    <t>Category Results: 
- Uses the Savings Avg column on the Final Savings slide as finalized numbers. Source: Christianbook - Close Out and Potential Wave 2 Review.pptx.
Is this correct?</t>
  </si>
  <si>
    <t xml:space="preserve">Category Results:
Included contract signing date for all except Corrugated and Packaging &amp; Shipping Supplies although the information was available. </t>
  </si>
  <si>
    <t xml:space="preserve">Proof Points: 
- Stated there was a 10% reduction in merchant process fees equating to $628K in savings, although that number was the average savings between 10% and 13%. Corrected number for 10% savings is $558K. </t>
  </si>
  <si>
    <t xml:space="preserve">Calibr Merchant Solutions: 
- Used the 10% number for savings at $558K, but used the average savings as finalized number in all prior sections. 
Action: Need to tell the LLM which one to use as source of truth. </t>
  </si>
  <si>
    <t xml:space="preserve">Echo Logistics: 
- LLM states savings at $36,138 (4%) while final savings slide states $64,494 (8%). LLM got that number from the Christianbook - Strategic Sourcing Project Update (012925).pptx slide 4 as the savings high number. 
- LLM should have used the final report out slide instead like it did for the previous supplier battlecards. </t>
  </si>
  <si>
    <t xml:space="preserve">Translink:
- LLM states before to after spend is 0$ to $0 with -$-25,509 (-3%), while it should have had the original spend to the increased spend, showcasing where the negative savings comes from. Also, this was an incumbent so there should be existing spend. </t>
  </si>
  <si>
    <t xml:space="preserve">Key Container Corporation:
- If this is a new supplier there should not be existing spend, unless that is referencing the spend of the awarded parts before and after instead of specific to supplier. </t>
  </si>
  <si>
    <t>Cell</t>
  </si>
  <si>
    <t>Questions</t>
  </si>
  <si>
    <t xml:space="preserve">Was the same prompt used for each client? </t>
  </si>
  <si>
    <t xml:space="preserve">Approach Summary: 
- LLM stated savings range was 10% - 31% for Merchant Processing fees, LTL/FTL, although FTL freight was 8% reduction, which should be the low end of the range. 
- Should "fee reductions" be replaced with "cost reductions". </t>
  </si>
  <si>
    <t>Choice Health At Home</t>
  </si>
  <si>
    <t xml:space="preserve">Size Metrics: 
- Revenue at $0. No source to verify. Should just say not found instead of $0. 
- Locations were counted wrong. Stated it counted on their website and got 47. I did the same and counted 66. </t>
  </si>
  <si>
    <t xml:space="preserve">Exhibit B - Fee Structure: 
- Min Savings Guarantee was stated as N/A, although there is a guarantee of minimum 1.5x return on fees. </t>
  </si>
  <si>
    <t>baseline spend</t>
  </si>
  <si>
    <t>addressable spend</t>
  </si>
  <si>
    <t>Fleet</t>
  </si>
  <si>
    <t>Employee Benefits</t>
  </si>
  <si>
    <t>Medical Supplies</t>
  </si>
  <si>
    <t>Pharmacy</t>
  </si>
  <si>
    <t>Medical Equipment</t>
  </si>
  <si>
    <t>Temps-Therapists</t>
  </si>
  <si>
    <t>Temp Staff - Nurses</t>
  </si>
  <si>
    <t xml:space="preserve">Telecom - Data &amp; Boice </t>
  </si>
  <si>
    <t>Commercial Print</t>
  </si>
  <si>
    <t>Copiers/MFPs</t>
  </si>
  <si>
    <t>Office Supplies</t>
  </si>
  <si>
    <t>IT Hardware</t>
  </si>
  <si>
    <t>Total</t>
  </si>
  <si>
    <t>% of Addressable</t>
  </si>
  <si>
    <t>COGS</t>
  </si>
  <si>
    <t xml:space="preserve">Revenue is unable to be verified by primary source. Private company. </t>
  </si>
  <si>
    <t xml:space="preserve">RoadOne: Line 784
- LLM states before to after spend is 0$ to $0 with -$-92,534 (-11%), while it should have had the original spend to the increased spend, showcasing where the negative savings comes from. Also, this was an incumbent so there should be existing spend. </t>
  </si>
  <si>
    <t>COGS addressable</t>
  </si>
  <si>
    <t>COGS % of addressable</t>
  </si>
  <si>
    <t>% addressable</t>
  </si>
  <si>
    <t xml:space="preserve">Objective: 
- Stated Savings Low value as $730K instead of $701K. LLM pulled the number from the Spend Analysis Opportunity ppt, where the number differs from the agreement. LLM needs to be point to which document's numbers are more accurate do it is consistent. </t>
  </si>
  <si>
    <t xml:space="preserve">Category 1: IUD Order Management:
-LLM pulled IUD Order Management annual savings at 1.8%, while the Project Close Out Summary presentation shows 4%. Looks like it may be due to IUD Order Management and Bayer IUD Program being grouped into one Baseline Spend. The slide may be incorrect depending on the number used to calculate %. </t>
  </si>
  <si>
    <t>Medline Industries baseline spend shows $0 although business was moved from them. Should be $X to $0.</t>
  </si>
  <si>
    <t>Category Details: Electronic Payment Processing could have been TBD instead of $0</t>
  </si>
  <si>
    <t>Calculations are for bolded cell</t>
  </si>
  <si>
    <t>Peak Technologies: 
9% savings should have been rounded to 10% to stay consistent with previous rounding.</t>
  </si>
  <si>
    <t>Accutech Packaging:
- "Why Selected" section incorrectly states 11.7% savings while the spend difference of savings above calculate to $98,782/771,994=12.8% (13%)</t>
  </si>
  <si>
    <t>ChristianBook</t>
  </si>
  <si>
    <t>Incorrect value from switching 90% to 30%</t>
  </si>
  <si>
    <t>D8 &amp; D9</t>
  </si>
  <si>
    <t>Choice Health</t>
  </si>
  <si>
    <t>Advantia</t>
  </si>
  <si>
    <t>H14</t>
  </si>
  <si>
    <t>H13</t>
  </si>
  <si>
    <t>Reese Gorey</t>
  </si>
  <si>
    <t>LLM Database Export Validation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</si>
</sst>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i/>
      <u/>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applyAlignment="1">
      <alignment wrapText="1"/>
    </xf>
    <xf numFmtId="44" fontId="0" fillId="0" borderId="0" xfId="1" applyFont="1"/>
    <xf numFmtId="9" fontId="0" fillId="0" borderId="0" xfId="2" applyFont="1"/>
    <xf numFmtId="44" fontId="0" fillId="0" borderId="0" xfId="0" applyNumberFormat="1"/>
    <xf numFmtId="6" fontId="0" fillId="0" borderId="0" xfId="0" applyNumberFormat="1"/>
    <xf numFmtId="9" fontId="0" fillId="0" borderId="0" xfId="0" applyNumberFormat="1"/>
    <xf numFmtId="0" fontId="2" fillId="0" borderId="0" xfId="0" applyFont="1" applyAlignment="1">
      <alignment vertical="center"/>
    </xf>
    <xf numFmtId="44" fontId="0" fillId="0" borderId="0" xfId="1" applyFont="1" applyAlignment="1">
      <alignment wrapText="1"/>
    </xf>
    <xf numFmtId="164" fontId="0" fillId="0" borderId="0" xfId="0" applyNumberFormat="1"/>
    <xf numFmtId="0" fontId="2" fillId="0" borderId="0" xfId="0" applyFont="1"/>
    <xf numFmtId="165" fontId="0" fillId="0" borderId="0" xfId="2" applyNumberFormat="1" applyFont="1"/>
    <xf numFmtId="9" fontId="3" fillId="0" borderId="0" xfId="0" applyNumberFormat="1" applyFont="1"/>
    <xf numFmtId="6" fontId="3" fillId="0" borderId="0" xfId="0" applyNumberFormat="1" applyFont="1"/>
    <xf numFmtId="14" fontId="0" fillId="0" borderId="0" xfId="0" applyNumberFormat="1"/>
  </cellXfs>
  <cellStyles count="3">
    <cellStyle name="Currency" xfId="1" builtinId="4"/>
    <cellStyle name="Normal" xfId="0" builtinId="0"/>
    <cellStyle name="Percent" xfId="2" builtinId="5"/>
  </cellStyles>
  <dxfs count="2">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B8A232-2FEB-45D6-9110-E63CFABE1302}" name="Table1" displayName="Table1" ref="B5:L16" totalsRowShown="0">
  <autoFilter ref="B5:L16" xr:uid="{31B8A232-2FEB-45D6-9110-E63CFABE1302}"/>
  <tableColumns count="11">
    <tableColumn id="1" xr3:uid="{D45BF6DF-DEA8-4044-9A55-094FB0959DBE}" name="Client" dataDxfId="1"/>
    <tableColumn id="2" xr3:uid="{E01DD8C3-2DDF-48C7-8953-C3E0110E4514}" name="Client Overview"/>
    <tableColumn id="3" xr3:uid="{D55856FC-C868-48E0-AAC2-6518AD41FA0B}" name="Project Scope" dataDxfId="0"/>
    <tableColumn id="4" xr3:uid="{C61B9087-B972-43B5-A8FF-49503D6B8B61}" name="Engagement Background"/>
    <tableColumn id="5" xr3:uid="{B6299629-6B3F-4D17-B89F-86579D41088F}" name="Impact &amp; Results"/>
    <tableColumn id="6" xr3:uid="{9FD59BA4-88EF-4084-A1F0-F92595C5894B}" name="Categories (Detailed)"/>
    <tableColumn id="7" xr3:uid="{04A9FC40-319D-49FB-936E-0F8B488D6D3E}" name="Supplier Battlecards"/>
    <tableColumn id="8" xr3:uid="{D21C8AA1-4B3A-45B4-B01A-2FA5A140F11B}" name="Case Study Packaging"/>
    <tableColumn id="9" xr3:uid="{3E4BC1FA-CE99-43E2-A171-6D4FEA709507}" name="Extraction Notes"/>
    <tableColumn id="12" xr3:uid="{BC5F4B8B-D8EA-4B57-A167-C5B5E8EC8C3B}" name="Reviewer notes"/>
    <tableColumn id="14" xr3:uid="{2CC6A5CF-86AB-400B-8D89-E5727BE8C0EF}" name="Ques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D5DE3-9C45-496A-B484-10E2C8FA16EB}">
  <dimension ref="A1:L29"/>
  <sheetViews>
    <sheetView tabSelected="1" workbookViewId="0">
      <pane xSplit="2" ySplit="5" topLeftCell="C6" activePane="bottomRight" state="frozen"/>
      <selection pane="topRight" activeCell="C1" sqref="C1"/>
      <selection pane="bottomLeft" activeCell="A6" sqref="A6"/>
      <selection pane="bottomRight" activeCell="A4" sqref="A4"/>
    </sheetView>
  </sheetViews>
  <sheetFormatPr defaultRowHeight="14.5" x14ac:dyDescent="0.35"/>
  <cols>
    <col min="2" max="2" width="14.26953125" bestFit="1" customWidth="1"/>
    <col min="3" max="3" width="26" customWidth="1"/>
    <col min="4" max="4" width="24.36328125" customWidth="1"/>
    <col min="5" max="5" width="31.81640625" customWidth="1"/>
    <col min="6" max="6" width="32.1796875" customWidth="1"/>
    <col min="7" max="7" width="21.453125" customWidth="1"/>
    <col min="8" max="8" width="20.1796875" customWidth="1"/>
    <col min="9" max="9" width="21.453125" customWidth="1"/>
    <col min="10" max="10" width="17.1796875" customWidth="1"/>
    <col min="11" max="12" width="16.26953125" customWidth="1"/>
  </cols>
  <sheetData>
    <row r="1" spans="1:12" x14ac:dyDescent="0.35">
      <c r="A1" t="s">
        <v>72</v>
      </c>
    </row>
    <row r="2" spans="1:12" x14ac:dyDescent="0.35">
      <c r="A2" t="s">
        <v>73</v>
      </c>
    </row>
    <row r="3" spans="1:12" x14ac:dyDescent="0.35">
      <c r="A3" s="14">
        <f ca="1">TODAY()</f>
        <v>46058</v>
      </c>
    </row>
    <row r="5" spans="1:12" x14ac:dyDescent="0.35">
      <c r="B5" t="s">
        <v>0</v>
      </c>
      <c r="C5" t="s">
        <v>1</v>
      </c>
      <c r="D5" t="s">
        <v>2</v>
      </c>
      <c r="E5" t="s">
        <v>3</v>
      </c>
      <c r="F5" t="s">
        <v>4</v>
      </c>
      <c r="G5" t="s">
        <v>5</v>
      </c>
      <c r="H5" t="s">
        <v>6</v>
      </c>
      <c r="I5" t="s">
        <v>7</v>
      </c>
      <c r="J5" t="s">
        <v>8</v>
      </c>
      <c r="K5" t="s">
        <v>10</v>
      </c>
      <c r="L5" t="s">
        <v>30</v>
      </c>
    </row>
    <row r="6" spans="1:12" ht="268.5" customHeight="1" x14ac:dyDescent="0.35">
      <c r="B6" s="7" t="s">
        <v>9</v>
      </c>
      <c r="C6" s="1" t="s">
        <v>12</v>
      </c>
      <c r="D6" s="1" t="s">
        <v>11</v>
      </c>
      <c r="E6" s="1" t="s">
        <v>58</v>
      </c>
      <c r="F6" s="1" t="s">
        <v>13</v>
      </c>
      <c r="G6" s="1" t="s">
        <v>59</v>
      </c>
      <c r="H6" s="1" t="s">
        <v>60</v>
      </c>
      <c r="K6" s="1" t="s">
        <v>21</v>
      </c>
      <c r="L6" s="1" t="s">
        <v>31</v>
      </c>
    </row>
    <row r="7" spans="1:12" ht="145" x14ac:dyDescent="0.35">
      <c r="B7" s="7" t="s">
        <v>9</v>
      </c>
      <c r="C7" s="1" t="s">
        <v>53</v>
      </c>
      <c r="D7" s="1" t="s">
        <v>61</v>
      </c>
      <c r="F7" s="1" t="s">
        <v>14</v>
      </c>
      <c r="H7" s="1" t="s">
        <v>15</v>
      </c>
    </row>
    <row r="8" spans="1:12" ht="232" x14ac:dyDescent="0.35">
      <c r="B8" s="7" t="s">
        <v>16</v>
      </c>
      <c r="D8" s="1" t="s">
        <v>17</v>
      </c>
      <c r="E8" s="1" t="s">
        <v>20</v>
      </c>
      <c r="F8" s="1" t="s">
        <v>22</v>
      </c>
      <c r="H8" s="1" t="s">
        <v>25</v>
      </c>
      <c r="I8" s="1" t="s">
        <v>32</v>
      </c>
    </row>
    <row r="9" spans="1:12" ht="261" x14ac:dyDescent="0.35">
      <c r="B9" s="7" t="s">
        <v>16</v>
      </c>
      <c r="D9" s="1" t="s">
        <v>18</v>
      </c>
      <c r="E9" s="1" t="s">
        <v>19</v>
      </c>
      <c r="F9" s="1" t="s">
        <v>23</v>
      </c>
      <c r="H9" s="1" t="s">
        <v>26</v>
      </c>
    </row>
    <row r="10" spans="1:12" ht="188.5" x14ac:dyDescent="0.35">
      <c r="B10" s="7" t="s">
        <v>16</v>
      </c>
      <c r="D10" s="1"/>
      <c r="F10" s="1" t="s">
        <v>24</v>
      </c>
      <c r="H10" s="1" t="s">
        <v>27</v>
      </c>
    </row>
    <row r="11" spans="1:12" ht="203" customHeight="1" x14ac:dyDescent="0.35">
      <c r="B11" s="7" t="s">
        <v>16</v>
      </c>
      <c r="D11" s="1"/>
      <c r="H11" s="1" t="s">
        <v>54</v>
      </c>
    </row>
    <row r="12" spans="1:12" ht="159.5" customHeight="1" x14ac:dyDescent="0.35">
      <c r="B12" s="7" t="s">
        <v>16</v>
      </c>
      <c r="D12" s="1"/>
      <c r="H12" s="1" t="s">
        <v>28</v>
      </c>
    </row>
    <row r="13" spans="1:12" ht="159.5" customHeight="1" x14ac:dyDescent="0.35">
      <c r="B13" s="7" t="s">
        <v>16</v>
      </c>
      <c r="D13" s="1"/>
      <c r="H13" s="1" t="s">
        <v>63</v>
      </c>
    </row>
    <row r="14" spans="1:12" ht="217.5" customHeight="1" x14ac:dyDescent="0.35">
      <c r="B14" s="7" t="s">
        <v>16</v>
      </c>
      <c r="D14" s="8"/>
      <c r="E14" s="3"/>
      <c r="F14" s="2"/>
      <c r="H14" s="1" t="s">
        <v>64</v>
      </c>
    </row>
    <row r="15" spans="1:12" ht="116" x14ac:dyDescent="0.35">
      <c r="B15" s="7" t="s">
        <v>33</v>
      </c>
      <c r="C15" s="1" t="s">
        <v>34</v>
      </c>
      <c r="D15" s="8" t="s">
        <v>35</v>
      </c>
      <c r="E15" s="3"/>
      <c r="F15" s="2"/>
    </row>
    <row r="16" spans="1:12" x14ac:dyDescent="0.35">
      <c r="B16" s="7"/>
      <c r="D16" s="8"/>
      <c r="E16" s="3"/>
      <c r="F16" s="2"/>
      <c r="H16" s="4"/>
    </row>
    <row r="17" spans="4:8" x14ac:dyDescent="0.35">
      <c r="D17" s="2"/>
      <c r="E17" s="3"/>
      <c r="F17" s="2"/>
      <c r="H17" s="4"/>
    </row>
    <row r="18" spans="4:8" x14ac:dyDescent="0.35">
      <c r="D18" s="2"/>
      <c r="E18" s="3"/>
      <c r="F18" s="2"/>
      <c r="H18" s="4"/>
    </row>
    <row r="19" spans="4:8" x14ac:dyDescent="0.35">
      <c r="D19" s="2"/>
      <c r="E19" s="3"/>
      <c r="F19" s="2"/>
      <c r="H19" s="4"/>
    </row>
    <row r="20" spans="4:8" x14ac:dyDescent="0.35">
      <c r="D20" s="2"/>
      <c r="E20" s="3"/>
      <c r="F20" s="2"/>
    </row>
    <row r="21" spans="4:8" x14ac:dyDescent="0.35">
      <c r="D21" s="2"/>
      <c r="E21" s="3"/>
      <c r="F21" s="2"/>
    </row>
    <row r="22" spans="4:8" x14ac:dyDescent="0.35">
      <c r="D22" s="4"/>
      <c r="E22" s="5"/>
      <c r="F22" s="4"/>
    </row>
    <row r="23" spans="4:8" x14ac:dyDescent="0.35">
      <c r="D23" s="5"/>
      <c r="E23" s="5"/>
      <c r="F23" s="5"/>
    </row>
    <row r="24" spans="4:8" x14ac:dyDescent="0.35">
      <c r="D24" s="5"/>
      <c r="E24" s="5"/>
      <c r="F24" s="5"/>
    </row>
    <row r="25" spans="4:8" x14ac:dyDescent="0.35">
      <c r="D25" s="4"/>
      <c r="E25" s="4"/>
    </row>
    <row r="26" spans="4:8" x14ac:dyDescent="0.35">
      <c r="D26" s="3"/>
      <c r="E26" s="3"/>
      <c r="F26" s="5"/>
    </row>
    <row r="29" spans="4:8" x14ac:dyDescent="0.35">
      <c r="D29" s="5"/>
      <c r="E29" s="5"/>
      <c r="F29" s="5"/>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9569-0412-4720-AD7B-CE47A33DE22B}">
  <dimension ref="A1:L40"/>
  <sheetViews>
    <sheetView workbookViewId="0">
      <selection activeCell="E19" sqref="E19"/>
    </sheetView>
  </sheetViews>
  <sheetFormatPr defaultRowHeight="14.5" x14ac:dyDescent="0.35"/>
  <cols>
    <col min="3" max="3" width="14.81640625" bestFit="1" customWidth="1"/>
    <col min="4" max="4" width="13.81640625" bestFit="1" customWidth="1"/>
    <col min="5" max="5" width="14.81640625" bestFit="1" customWidth="1"/>
    <col min="7" max="7" width="13.81640625" bestFit="1" customWidth="1"/>
    <col min="8" max="8" width="14.81640625" bestFit="1" customWidth="1"/>
    <col min="10" max="10" width="14.81640625" bestFit="1" customWidth="1"/>
    <col min="11" max="11" width="13.81640625" bestFit="1" customWidth="1"/>
  </cols>
  <sheetData>
    <row r="1" spans="1:12" x14ac:dyDescent="0.35">
      <c r="A1" t="s">
        <v>62</v>
      </c>
    </row>
    <row r="5" spans="1:12" x14ac:dyDescent="0.35">
      <c r="A5" t="s">
        <v>65</v>
      </c>
      <c r="G5" t="s">
        <v>69</v>
      </c>
    </row>
    <row r="6" spans="1:12" x14ac:dyDescent="0.35">
      <c r="B6" t="s">
        <v>29</v>
      </c>
      <c r="C6" t="s">
        <v>36</v>
      </c>
      <c r="D6" t="s">
        <v>57</v>
      </c>
      <c r="E6" t="s">
        <v>37</v>
      </c>
      <c r="H6" s="2">
        <v>6232293</v>
      </c>
      <c r="I6" s="3">
        <v>0.8</v>
      </c>
      <c r="J6" s="2">
        <f t="shared" ref="J6:J15" si="0">H6*I6</f>
        <v>4985834.4000000004</v>
      </c>
      <c r="K6" t="s">
        <v>55</v>
      </c>
      <c r="L6" t="s">
        <v>56</v>
      </c>
    </row>
    <row r="7" spans="1:12" x14ac:dyDescent="0.35">
      <c r="B7" s="10" t="s">
        <v>67</v>
      </c>
      <c r="C7" s="4">
        <v>4742688</v>
      </c>
      <c r="D7" s="6">
        <v>0.85</v>
      </c>
      <c r="E7" s="4">
        <f>C7*D7</f>
        <v>4031284.8</v>
      </c>
      <c r="H7" s="2">
        <v>3925417</v>
      </c>
      <c r="I7" s="3">
        <v>0.8</v>
      </c>
      <c r="J7" s="2">
        <f t="shared" si="0"/>
        <v>3140333.6</v>
      </c>
      <c r="K7" s="2">
        <f>SUM(J7,J8,J10,J11)</f>
        <v>5952248.8999999994</v>
      </c>
      <c r="L7" s="3">
        <f>K7/J16</f>
        <v>0.43475583201163009</v>
      </c>
    </row>
    <row r="8" spans="1:12" x14ac:dyDescent="0.35">
      <c r="C8" s="4">
        <v>5243627</v>
      </c>
      <c r="D8" s="12">
        <v>0.9</v>
      </c>
      <c r="E8" s="4">
        <f t="shared" ref="E8:E14" si="1">C8*D8</f>
        <v>4719264.3</v>
      </c>
      <c r="H8" s="2">
        <v>2244850</v>
      </c>
      <c r="I8" s="3">
        <v>0.5</v>
      </c>
      <c r="J8" s="2">
        <f t="shared" si="0"/>
        <v>1122425</v>
      </c>
    </row>
    <row r="9" spans="1:12" x14ac:dyDescent="0.35">
      <c r="C9" s="4">
        <v>1433856</v>
      </c>
      <c r="D9" s="6">
        <v>0.9</v>
      </c>
      <c r="E9" s="4">
        <f t="shared" si="1"/>
        <v>1290470.4000000001</v>
      </c>
      <c r="H9" s="2">
        <v>2033693</v>
      </c>
      <c r="I9" s="3">
        <v>0.85</v>
      </c>
      <c r="J9" s="2">
        <f t="shared" si="0"/>
        <v>1728639.05</v>
      </c>
    </row>
    <row r="10" spans="1:12" x14ac:dyDescent="0.35">
      <c r="C10" s="4">
        <v>3430509</v>
      </c>
      <c r="D10" s="6">
        <v>0.75</v>
      </c>
      <c r="E10" s="4">
        <f t="shared" si="1"/>
        <v>2572881.75</v>
      </c>
      <c r="H10" s="2">
        <v>1498946</v>
      </c>
      <c r="I10" s="3">
        <v>0.8</v>
      </c>
      <c r="J10" s="2">
        <f t="shared" si="0"/>
        <v>1199156.8</v>
      </c>
    </row>
    <row r="11" spans="1:12" x14ac:dyDescent="0.35">
      <c r="C11" s="4">
        <v>1274235</v>
      </c>
      <c r="D11" s="6">
        <v>0.9</v>
      </c>
      <c r="E11" s="4">
        <f t="shared" si="1"/>
        <v>1146811.5</v>
      </c>
      <c r="H11" s="2">
        <v>980667</v>
      </c>
      <c r="I11" s="3">
        <v>0.5</v>
      </c>
      <c r="J11" s="2">
        <f t="shared" si="0"/>
        <v>490333.5</v>
      </c>
    </row>
    <row r="12" spans="1:12" x14ac:dyDescent="0.35">
      <c r="C12" s="4">
        <v>363872</v>
      </c>
      <c r="D12" s="6">
        <v>0.9</v>
      </c>
      <c r="E12" s="4">
        <f t="shared" si="1"/>
        <v>327484.79999999999</v>
      </c>
      <c r="H12" s="2">
        <v>704691</v>
      </c>
      <c r="I12" s="3">
        <v>0.7</v>
      </c>
      <c r="J12" s="2">
        <f t="shared" si="0"/>
        <v>493283.69999999995</v>
      </c>
    </row>
    <row r="13" spans="1:12" x14ac:dyDescent="0.35">
      <c r="C13" s="4">
        <v>1035326</v>
      </c>
      <c r="D13" s="6">
        <v>0.5</v>
      </c>
      <c r="E13" s="4">
        <f t="shared" si="1"/>
        <v>517663</v>
      </c>
      <c r="H13" s="2">
        <v>703123</v>
      </c>
      <c r="I13" s="3">
        <v>0</v>
      </c>
      <c r="J13" s="2">
        <f t="shared" si="0"/>
        <v>0</v>
      </c>
    </row>
    <row r="14" spans="1:12" x14ac:dyDescent="0.35">
      <c r="C14" s="4">
        <v>612096</v>
      </c>
      <c r="D14" s="6">
        <v>0.9</v>
      </c>
      <c r="E14" s="4">
        <f t="shared" si="1"/>
        <v>550886.40000000002</v>
      </c>
      <c r="H14" s="2">
        <v>349542</v>
      </c>
      <c r="I14" s="3">
        <v>0.9</v>
      </c>
      <c r="J14" s="2">
        <f t="shared" si="0"/>
        <v>314587.8</v>
      </c>
    </row>
    <row r="15" spans="1:12" x14ac:dyDescent="0.35">
      <c r="B15" t="s">
        <v>50</v>
      </c>
      <c r="C15" s="4">
        <f>SUM(C7:C14)</f>
        <v>18136209</v>
      </c>
      <c r="D15" s="5"/>
      <c r="E15" s="4">
        <f>SUM(E7:E14)</f>
        <v>15156746.950000001</v>
      </c>
      <c r="H15" s="2">
        <v>309174</v>
      </c>
      <c r="I15" s="3">
        <v>0.7</v>
      </c>
      <c r="J15" s="2">
        <f t="shared" si="0"/>
        <v>216421.8</v>
      </c>
    </row>
    <row r="16" spans="1:12" x14ac:dyDescent="0.35">
      <c r="B16" t="s">
        <v>66</v>
      </c>
      <c r="C16" s="5"/>
      <c r="D16" s="5"/>
      <c r="E16" s="13">
        <v>12010536</v>
      </c>
      <c r="H16" s="2">
        <f>SUM(H6:H15)</f>
        <v>18982396</v>
      </c>
      <c r="J16" s="2">
        <f>SUM(J6:J15)</f>
        <v>13691015.650000002</v>
      </c>
    </row>
    <row r="17" spans="1:8" x14ac:dyDescent="0.35">
      <c r="C17" s="5"/>
      <c r="D17" s="5"/>
      <c r="E17" s="5"/>
    </row>
    <row r="18" spans="1:8" x14ac:dyDescent="0.35">
      <c r="C18" s="4">
        <f>SUM(C14,C9,C11)</f>
        <v>3320187</v>
      </c>
      <c r="D18" s="4">
        <f>SUM(E14,E11,E9)</f>
        <v>2988168.3</v>
      </c>
    </row>
    <row r="19" spans="1:8" x14ac:dyDescent="0.35">
      <c r="C19" s="6">
        <f>C18/E16</f>
        <v>0.27643953608731536</v>
      </c>
      <c r="D19" s="6">
        <f>D18/E15</f>
        <v>0.19715103180501403</v>
      </c>
      <c r="E19" s="5"/>
    </row>
    <row r="24" spans="1:8" x14ac:dyDescent="0.35">
      <c r="B24" s="10" t="s">
        <v>70</v>
      </c>
      <c r="C24" s="2">
        <v>771994</v>
      </c>
      <c r="D24" s="2">
        <v>673212</v>
      </c>
      <c r="E24" s="2">
        <f>C24-D24</f>
        <v>98782</v>
      </c>
      <c r="F24" s="11">
        <f>E24/C24</f>
        <v>0.12795695303331373</v>
      </c>
    </row>
    <row r="25" spans="1:8" x14ac:dyDescent="0.35">
      <c r="B25" s="10" t="s">
        <v>71</v>
      </c>
      <c r="C25" s="2">
        <v>125376</v>
      </c>
      <c r="D25" s="2">
        <v>113429</v>
      </c>
      <c r="E25" s="2">
        <f>C25-D25</f>
        <v>11947</v>
      </c>
      <c r="F25" s="3">
        <f>E25/C25</f>
        <v>9.5289369576314439E-2</v>
      </c>
    </row>
    <row r="26" spans="1:8" x14ac:dyDescent="0.35">
      <c r="A26" t="s">
        <v>68</v>
      </c>
    </row>
    <row r="27" spans="1:8" x14ac:dyDescent="0.35">
      <c r="B27" s="10"/>
      <c r="C27" t="s">
        <v>36</v>
      </c>
      <c r="D27" t="s">
        <v>57</v>
      </c>
      <c r="E27" t="s">
        <v>37</v>
      </c>
    </row>
    <row r="28" spans="1:8" x14ac:dyDescent="0.35">
      <c r="B28" t="s">
        <v>38</v>
      </c>
      <c r="C28" s="2">
        <v>4183120</v>
      </c>
      <c r="D28" s="3">
        <v>0.9</v>
      </c>
      <c r="E28" s="2">
        <f>C28*D28</f>
        <v>3764808</v>
      </c>
      <c r="G28" t="s">
        <v>52</v>
      </c>
      <c r="H28" t="s">
        <v>51</v>
      </c>
    </row>
    <row r="29" spans="1:8" x14ac:dyDescent="0.35">
      <c r="B29" t="s">
        <v>39</v>
      </c>
      <c r="C29" s="2">
        <v>4138052</v>
      </c>
      <c r="D29" s="3">
        <v>0.8</v>
      </c>
      <c r="E29" s="2">
        <f t="shared" ref="E29:E39" si="2">C29*D29</f>
        <v>3310441.6</v>
      </c>
      <c r="G29" s="4">
        <f>SUM(E30,E31,E32,E33,E34)</f>
        <v>6723186</v>
      </c>
      <c r="H29" s="3">
        <f>G29/E40</f>
        <v>0.4461003083500959</v>
      </c>
    </row>
    <row r="30" spans="1:8" x14ac:dyDescent="0.35">
      <c r="B30" t="s">
        <v>40</v>
      </c>
      <c r="C30" s="2">
        <v>1799484</v>
      </c>
      <c r="D30" s="3">
        <v>0.9</v>
      </c>
      <c r="E30" s="2">
        <f t="shared" si="2"/>
        <v>1619535.6</v>
      </c>
    </row>
    <row r="31" spans="1:8" x14ac:dyDescent="0.35">
      <c r="B31" t="s">
        <v>41</v>
      </c>
      <c r="C31" s="2">
        <v>2347556</v>
      </c>
      <c r="D31" s="3">
        <v>0.9</v>
      </c>
      <c r="E31" s="2">
        <f t="shared" si="2"/>
        <v>2112800.4</v>
      </c>
    </row>
    <row r="32" spans="1:8" x14ac:dyDescent="0.35">
      <c r="B32" t="s">
        <v>42</v>
      </c>
      <c r="C32" s="2">
        <v>1798328</v>
      </c>
      <c r="D32" s="3">
        <v>0.75</v>
      </c>
      <c r="E32" s="2">
        <f t="shared" si="2"/>
        <v>1348746</v>
      </c>
    </row>
    <row r="33" spans="2:5" x14ac:dyDescent="0.35">
      <c r="B33" t="s">
        <v>43</v>
      </c>
      <c r="C33" s="2">
        <v>1242983</v>
      </c>
      <c r="D33" s="3">
        <v>0.8</v>
      </c>
      <c r="E33" s="2">
        <f t="shared" si="2"/>
        <v>994386.4</v>
      </c>
    </row>
    <row r="34" spans="2:5" x14ac:dyDescent="0.35">
      <c r="B34" t="s">
        <v>44</v>
      </c>
      <c r="C34" s="2">
        <v>809647</v>
      </c>
      <c r="D34" s="3">
        <v>0.8</v>
      </c>
      <c r="E34" s="2">
        <f t="shared" si="2"/>
        <v>647717.60000000009</v>
      </c>
    </row>
    <row r="35" spans="2:5" x14ac:dyDescent="0.35">
      <c r="B35" t="s">
        <v>45</v>
      </c>
      <c r="C35" s="2">
        <v>326336</v>
      </c>
      <c r="D35" s="3">
        <v>0.9</v>
      </c>
      <c r="E35" s="2">
        <f t="shared" si="2"/>
        <v>293702.40000000002</v>
      </c>
    </row>
    <row r="36" spans="2:5" x14ac:dyDescent="0.35">
      <c r="B36" t="s">
        <v>46</v>
      </c>
      <c r="C36" s="2">
        <v>379546</v>
      </c>
      <c r="D36" s="3">
        <v>0.9</v>
      </c>
      <c r="E36" s="2">
        <f t="shared" si="2"/>
        <v>341591.4</v>
      </c>
    </row>
    <row r="37" spans="2:5" x14ac:dyDescent="0.35">
      <c r="B37" t="s">
        <v>47</v>
      </c>
      <c r="C37" s="2">
        <v>372403</v>
      </c>
      <c r="D37" s="3">
        <v>0.9</v>
      </c>
      <c r="E37" s="2">
        <f t="shared" si="2"/>
        <v>335162.7</v>
      </c>
    </row>
    <row r="38" spans="2:5" x14ac:dyDescent="0.35">
      <c r="B38" t="s">
        <v>48</v>
      </c>
      <c r="C38" s="2">
        <v>175717</v>
      </c>
      <c r="D38" s="3">
        <v>0.9</v>
      </c>
      <c r="E38" s="2">
        <f t="shared" si="2"/>
        <v>158145.30000000002</v>
      </c>
    </row>
    <row r="39" spans="2:5" x14ac:dyDescent="0.35">
      <c r="B39" t="s">
        <v>49</v>
      </c>
      <c r="C39" s="2">
        <v>159979</v>
      </c>
      <c r="D39" s="3">
        <v>0.9</v>
      </c>
      <c r="E39" s="2">
        <f t="shared" si="2"/>
        <v>143981.1</v>
      </c>
    </row>
    <row r="40" spans="2:5" x14ac:dyDescent="0.35">
      <c r="B40" t="s">
        <v>50</v>
      </c>
      <c r="C40" s="4">
        <f>SUM(C28:C39)</f>
        <v>17733151</v>
      </c>
      <c r="E40" s="9">
        <f>SUM(E28:E39)</f>
        <v>15071018.5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7F93515F9E9B488935A9EF12F5E14B" ma:contentTypeVersion="1" ma:contentTypeDescription="Create a new document." ma:contentTypeScope="" ma:versionID="37aa40b5f3d916804d92da0aae22d973">
  <xsd:schema xmlns:xsd="http://www.w3.org/2001/XMLSchema" xmlns:xs="http://www.w3.org/2001/XMLSchema" xmlns:p="http://schemas.microsoft.com/office/2006/metadata/properties" xmlns:ns3="32ac01e8-4f13-4a6c-b024-741437199bff" targetNamespace="http://schemas.microsoft.com/office/2006/metadata/properties" ma:root="true" ma:fieldsID="0d2df5d40e101a337d4e2c089fe63b9e" ns3:_="">
    <xsd:import namespace="32ac01e8-4f13-4a6c-b024-741437199bff"/>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c01e8-4f13-4a6c-b024-741437199b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416077-A191-436F-8D74-C3CC5F387D98}">
  <ds:schemaRefs>
    <ds:schemaRef ds:uri="http://schemas.microsoft.com/office/2006/metadata/properties"/>
    <ds:schemaRef ds:uri="http://www.w3.org/XML/1998/namespace"/>
    <ds:schemaRef ds:uri="http://schemas.microsoft.com/office/2006/documentManagement/types"/>
    <ds:schemaRef ds:uri="http://purl.org/dc/elements/1.1/"/>
    <ds:schemaRef ds:uri="32ac01e8-4f13-4a6c-b024-741437199bff"/>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EF2FCBA-794E-4ECF-991C-4419B10911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c01e8-4f13-4a6c-b024-741437199b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C2DDA7-6CBE-4463-9B31-0357AA5373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Calculation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Reese Gorey</dc:creator>
  <cp:lastModifiedBy>Reese Gorey</cp:lastModifiedBy>
  <dcterms:created xsi:type="dcterms:W3CDTF">2026-02-03T17:31:54Z</dcterms:created>
  <dcterms:modified xsi:type="dcterms:W3CDTF">2026-02-05T23:55:04Z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0x0101006E7F93515F9E9B488935A9EF12F5E14B</vt:lpwstr>
  </property>
</Properties>
</file>